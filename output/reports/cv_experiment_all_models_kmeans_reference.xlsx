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ythonProjects\ML_CV\output\reports\"/>
    </mc:Choice>
  </mc:AlternateContent>
  <xr:revisionPtr revIDLastSave="0" documentId="13_ncr:1_{2397866A-DC1E-4047-87F6-913E3AC87024}" xr6:coauthVersionLast="47" xr6:coauthVersionMax="47" xr10:uidLastSave="{00000000-0000-0000-0000-000000000000}"/>
  <bookViews>
    <workbookView xWindow="14280" yWindow="0" windowWidth="24150" windowHeight="20985" xr2:uid="{00000000-000D-0000-FFFF-FFFF00000000}"/>
  </bookViews>
  <sheets>
    <sheet name="CLASSIFICATION_QCUT_SUM_GRID" sheetId="2" r:id="rId1"/>
    <sheet name="REGRESSION_SUM_GRI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" l="1"/>
  <c r="E27" i="3"/>
</calcChain>
</file>

<file path=xl/sharedStrings.xml><?xml version="1.0" encoding="utf-8"?>
<sst xmlns="http://schemas.openxmlformats.org/spreadsheetml/2006/main" count="100" uniqueCount="55">
  <si>
    <t>Model</t>
  </si>
  <si>
    <t>CV_Folds</t>
  </si>
  <si>
    <t>Tuning_Time_sec</t>
  </si>
  <si>
    <t>Best_CV_Score</t>
  </si>
  <si>
    <t>Test_Accuracy</t>
  </si>
  <si>
    <t>Test_F1</t>
  </si>
  <si>
    <t>Test_AUC</t>
  </si>
  <si>
    <t>Best_Params</t>
  </si>
  <si>
    <t>Test_R2</t>
  </si>
  <si>
    <t>Test_RMSE</t>
  </si>
  <si>
    <t>Test_MAE</t>
  </si>
  <si>
    <t>RandomForest</t>
  </si>
  <si>
    <t>{'max_depth': 5, 'max_features': 'sqrt', 'min_samples_leaf': 1, 'min_samples_split': 5, 'n_estimators': 49}</t>
  </si>
  <si>
    <t>{'max_depth': 5, 'max_features': 'sqrt', 'min_samples_leaf': 1, 'min_samples_split': 10, 'n_estimators': 200}</t>
  </si>
  <si>
    <t>DecisionTree</t>
  </si>
  <si>
    <t>{'criterion': 'entropy', 'max_depth': None, 'max_features': None, 'min_samples_leaf': 1, 'min_samples_split': 2}</t>
  </si>
  <si>
    <t>SVC</t>
  </si>
  <si>
    <t>{'C': 100, 'class_weight': 'balanced', 'gamma': 'scale', 'kernel': 'rbf'}</t>
  </si>
  <si>
    <t>KNN</t>
  </si>
  <si>
    <t>{'metric': 'manhattan', 'n_neighbors': 3, 'weights': 'distance'}</t>
  </si>
  <si>
    <t>LogisticRegression</t>
  </si>
  <si>
    <t>{'C': 0.01, 'class_weight': 'balanced', 'max_iter': 1000, 'penalty': None, 'solver': 'lbfgs'}</t>
  </si>
  <si>
    <t>{'C': 10, 'class_weight': None, 'max_iter': 2000, 'penalty': 'l1', 'solver': 'saga'}</t>
  </si>
  <si>
    <t>NaiveBayes</t>
  </si>
  <si>
    <t>{'priors': None, 'var_smoothing': 0.0001}</t>
  </si>
  <si>
    <t>Bagging</t>
  </si>
  <si>
    <t>{'max_features': 0.6, 'max_samples': 0.8, 'n_estimators': 100}</t>
  </si>
  <si>
    <t>Stacking</t>
  </si>
  <si>
    <t>{'cv': 5}</t>
  </si>
  <si>
    <t>{'cv': 3}</t>
  </si>
  <si>
    <t>{'max_depth': 10, 'min_samples_leaf': 1, 'min_samples_split': 2, 'n_estimators': 250}</t>
  </si>
  <si>
    <t>{'max_depth': None, 'min_samples_leaf': 1, 'min_samples_split': 2, 'n_estimators': 250}</t>
  </si>
  <si>
    <t>{'criterion': 'squared_error', 'max_depth': None, 'max_features': None, 'min_samples_leaf': 1, 'min_samples_split': 2}</t>
  </si>
  <si>
    <t>SVM</t>
  </si>
  <si>
    <t>{'C': 500, 'epsilon': 0.01, 'gamma': 'scale', 'kernel': 'rbf'}</t>
  </si>
  <si>
    <t>Ridge</t>
  </si>
  <si>
    <t>{'alpha': 1e-05, 'solver': 'auto'}</t>
  </si>
  <si>
    <t>Lasso</t>
  </si>
  <si>
    <t>{'alpha': 1e-05, 'selection': 'cyclic'}</t>
  </si>
  <si>
    <t>ElasticNet</t>
  </si>
  <si>
    <t>{'alpha': 1e-05, 'l1_ratio': 0.5, 'selection': 'cyclic'}</t>
  </si>
  <si>
    <t>GradientBoosting</t>
  </si>
  <si>
    <t>{'learning_rate': 0.2, 'max_depth': 3, 'min_samples_split': 2, 'n_estimators': 200}</t>
  </si>
  <si>
    <t>{'learning_rate': 0.1, 'max_depth': 3, 'min_samples_split': 10, 'n_estimators': 200}</t>
  </si>
  <si>
    <t>XGBoost</t>
  </si>
  <si>
    <t>{'learning_rate': 0.1, 'max_depth': 5, 'min_child_weight': 5, 'n_estimators': 200}</t>
  </si>
  <si>
    <t>{'learning_rate': 0.1, 'max_depth': 5, 'min_child_weight': 1, 'n_estimators': 200}</t>
  </si>
  <si>
    <t>LightGBM</t>
  </si>
  <si>
    <t>{'learning_rate': 0.2, 'max_depth': 3, 'n_estimators': 200, 'num_leaves': 31}</t>
  </si>
  <si>
    <t>{'learning_rate': 0.2, 'max_depth': 7, 'n_estimators': 200, 'num_leaves': 31}</t>
  </si>
  <si>
    <t>{'max_features': 0.8, 'max_samples': 1.0, 'n_estimators': 100}</t>
  </si>
  <si>
    <t>BEST R²:</t>
  </si>
  <si>
    <r>
      <t>Classification with tunning using (AGGREGATION=</t>
    </r>
    <r>
      <rPr>
        <b/>
        <sz val="14"/>
        <color theme="4"/>
        <rFont val="Calibri"/>
        <family val="2"/>
        <scheme val="minor"/>
      </rPr>
      <t>SUM</t>
    </r>
    <r>
      <rPr>
        <b/>
        <sz val="14"/>
        <color rgb="FF006100"/>
        <rFont val="Calibri"/>
        <family val="2"/>
        <scheme val="minor"/>
      </rPr>
      <t>, SearchCV=</t>
    </r>
    <r>
      <rPr>
        <b/>
        <sz val="14"/>
        <color theme="4"/>
        <rFont val="Calibri"/>
        <family val="2"/>
        <scheme val="minor"/>
      </rPr>
      <t>GridSearchCV</t>
    </r>
    <r>
      <rPr>
        <b/>
        <sz val="14"/>
        <color rgb="FF006100"/>
        <rFont val="Calibri"/>
        <family val="2"/>
        <scheme val="minor"/>
      </rPr>
      <t xml:space="preserve"> and Clustring=</t>
    </r>
    <r>
      <rPr>
        <b/>
        <sz val="14"/>
        <color theme="4"/>
        <rFont val="Calibri"/>
        <family val="2"/>
        <scheme val="minor"/>
      </rPr>
      <t>QCUT</t>
    </r>
    <r>
      <rPr>
        <b/>
        <sz val="14"/>
        <color theme="8"/>
        <rFont val="Calibri"/>
        <family val="2"/>
        <scheme val="minor"/>
      </rPr>
      <t>)</t>
    </r>
  </si>
  <si>
    <t>BEST F1 score:</t>
  </si>
  <si>
    <r>
      <t>Regression (AGGREGATION=</t>
    </r>
    <r>
      <rPr>
        <b/>
        <sz val="14"/>
        <color theme="4"/>
        <rFont val="Calibri"/>
        <family val="2"/>
        <scheme val="minor"/>
      </rPr>
      <t>SUM</t>
    </r>
    <r>
      <rPr>
        <b/>
        <sz val="14"/>
        <color rgb="FF9C0006"/>
        <rFont val="Calibri"/>
        <family val="2"/>
        <scheme val="minor"/>
      </rPr>
      <t>, SearchCV=</t>
    </r>
    <r>
      <rPr>
        <b/>
        <sz val="14"/>
        <color theme="4"/>
        <rFont val="Calibri"/>
        <family val="2"/>
        <scheme val="minor"/>
      </rPr>
      <t>GridSearchCV</t>
    </r>
    <r>
      <rPr>
        <b/>
        <sz val="14"/>
        <color rgb="FF9C0006"/>
        <rFont val="Calibri"/>
        <family val="2"/>
        <scheme val="minor"/>
      </rPr>
      <t>) with tunning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</si>
</sst>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9C0006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double">
        <color theme="6"/>
      </top>
      <bottom style="thin">
        <color theme="6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4" borderId="2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5" fillId="5" borderId="7" xfId="0" applyFont="1" applyFill="1" applyBorder="1" applyAlignment="1">
      <alignment horizontal="right" vertical="center"/>
    </xf>
    <xf numFmtId="0" fontId="5" fillId="5" borderId="7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9" xfId="2" applyFont="1" applyBorder="1" applyAlignment="1">
      <alignment vertical="center"/>
    </xf>
    <xf numFmtId="0" fontId="6" fillId="3" borderId="0" xfId="2" applyFont="1" applyAlignment="1">
      <alignment vertical="center"/>
    </xf>
    <xf numFmtId="0" fontId="6" fillId="3" borderId="0" xfId="2" applyFont="1" applyAlignment="1">
      <alignment horizontal="right" vertical="center"/>
    </xf>
    <xf numFmtId="0" fontId="8" fillId="2" borderId="10" xfId="1" applyFont="1" applyBorder="1" applyAlignment="1">
      <alignment vertical="center"/>
    </xf>
    <xf numFmtId="0" fontId="2" fillId="2" borderId="0" xfId="1"/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7" borderId="10" xfId="0" applyFill="1" applyBorder="1" applyAlignment="1">
      <alignment vertical="center"/>
    </xf>
    <xf numFmtId="0" fontId="0" fillId="7" borderId="11" xfId="0" applyFill="1" applyBorder="1" applyAlignment="1">
      <alignment vertical="center"/>
    </xf>
    <xf numFmtId="0" fontId="4" fillId="7" borderId="11" xfId="0" applyFont="1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5" fillId="5" borderId="11" xfId="0" applyFont="1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5" fillId="5" borderId="11" xfId="0" applyFont="1" applyFill="1" applyBorder="1" applyAlignment="1">
      <alignment horizontal="right" vertical="center"/>
    </xf>
    <xf numFmtId="0" fontId="0" fillId="5" borderId="12" xfId="0" applyFill="1" applyBorder="1" applyAlignment="1">
      <alignment vertical="center"/>
    </xf>
    <xf numFmtId="0" fontId="0" fillId="7" borderId="11" xfId="0" applyFill="1" applyBorder="1" applyAlignment="1">
      <alignment horizontal="center" vertical="center"/>
    </xf>
  </cellXfs>
  <cellStyles count="3">
    <cellStyle name="Insatisfaisant" xfId="2" builtinId="27"/>
    <cellStyle name="Normal" xfId="0" builtinId="0"/>
    <cellStyle name="Satisfaisant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19"/>
  <sheetViews>
    <sheetView tabSelected="1" workbookViewId="0">
      <selection activeCell="F30" sqref="F30"/>
    </sheetView>
  </sheetViews>
  <sheetFormatPr baseColWidth="10" defaultColWidth="9.140625" defaultRowHeight="15" x14ac:dyDescent="0.25"/>
  <cols>
    <col min="1" max="1" width="17.85546875" customWidth="1"/>
    <col min="3" max="3" width="16.42578125" bestFit="1" customWidth="1"/>
    <col min="4" max="4" width="14.28515625" bestFit="1" customWidth="1"/>
    <col min="5" max="5" width="17.5703125" bestFit="1" customWidth="1"/>
    <col min="6" max="6" width="17.140625" bestFit="1" customWidth="1"/>
    <col min="7" max="7" width="14.28515625" bestFit="1" customWidth="1"/>
    <col min="8" max="8" width="100.140625" bestFit="1" customWidth="1"/>
  </cols>
  <sheetData>
    <row r="1" spans="1:8" ht="18.75" x14ac:dyDescent="0.25">
      <c r="A1" s="18" t="s">
        <v>52</v>
      </c>
      <c r="B1" s="19"/>
      <c r="C1" s="19"/>
      <c r="D1" s="19"/>
      <c r="E1" s="19"/>
      <c r="F1" s="19"/>
      <c r="G1" s="19"/>
      <c r="H1" s="19"/>
    </row>
    <row r="2" spans="1:8" ht="15.75" x14ac:dyDescent="0.25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1" t="s">
        <v>5</v>
      </c>
      <c r="G2" s="20" t="s">
        <v>6</v>
      </c>
      <c r="H2" s="20" t="s">
        <v>7</v>
      </c>
    </row>
    <row r="3" spans="1:8" ht="15.75" x14ac:dyDescent="0.25">
      <c r="A3" s="22" t="s">
        <v>11</v>
      </c>
      <c r="B3" s="31">
        <v>3</v>
      </c>
      <c r="C3" s="23">
        <v>63.217079639434807</v>
      </c>
      <c r="D3" s="23">
        <v>0.98953011289047055</v>
      </c>
      <c r="E3" s="23">
        <v>0.99350649350649356</v>
      </c>
      <c r="F3" s="24">
        <v>0.99176492607149547</v>
      </c>
      <c r="G3" s="23">
        <v>0.99970484061393161</v>
      </c>
      <c r="H3" s="25" t="s">
        <v>12</v>
      </c>
    </row>
    <row r="4" spans="1:8" ht="15.75" x14ac:dyDescent="0.25">
      <c r="A4" s="22" t="s">
        <v>11</v>
      </c>
      <c r="B4" s="31">
        <v>5</v>
      </c>
      <c r="C4" s="23">
        <v>101.4442019462585</v>
      </c>
      <c r="D4" s="23">
        <v>0.99341038157020556</v>
      </c>
      <c r="E4" s="23">
        <v>0.99350649350649356</v>
      </c>
      <c r="F4" s="24">
        <v>0.99176492607149547</v>
      </c>
      <c r="G4" s="23">
        <v>0.9997048406139315</v>
      </c>
      <c r="H4" s="25" t="s">
        <v>13</v>
      </c>
    </row>
    <row r="5" spans="1:8" ht="15.75" x14ac:dyDescent="0.25">
      <c r="A5" s="22" t="s">
        <v>14</v>
      </c>
      <c r="B5" s="31">
        <v>3</v>
      </c>
      <c r="C5" s="23">
        <v>0.76166844367980957</v>
      </c>
      <c r="D5" s="23">
        <v>0.98665742174062609</v>
      </c>
      <c r="E5" s="23">
        <v>0.98051948051948057</v>
      </c>
      <c r="F5" s="24">
        <v>0.97455078056787625</v>
      </c>
      <c r="G5" s="23">
        <v>0.98701298701298712</v>
      </c>
      <c r="H5" s="25" t="s">
        <v>15</v>
      </c>
    </row>
    <row r="6" spans="1:8" ht="15.75" x14ac:dyDescent="0.25">
      <c r="A6" s="22" t="s">
        <v>14</v>
      </c>
      <c r="B6" s="31">
        <v>5</v>
      </c>
      <c r="C6" s="23">
        <v>1.1964306831359861</v>
      </c>
      <c r="D6" s="23">
        <v>0.99071128965196775</v>
      </c>
      <c r="E6" s="23">
        <v>0.98051948051948057</v>
      </c>
      <c r="F6" s="24">
        <v>0.97455078056787625</v>
      </c>
      <c r="G6" s="23">
        <v>0.98701298701298712</v>
      </c>
      <c r="H6" s="25" t="s">
        <v>15</v>
      </c>
    </row>
    <row r="7" spans="1:8" ht="15.75" x14ac:dyDescent="0.25">
      <c r="A7" s="22" t="s">
        <v>16</v>
      </c>
      <c r="B7" s="31">
        <v>3</v>
      </c>
      <c r="C7" s="23">
        <v>5.71441650390625E-2</v>
      </c>
      <c r="D7" s="23">
        <v>0.95720017453985073</v>
      </c>
      <c r="E7" s="23">
        <v>0.96753246753246758</v>
      </c>
      <c r="F7" s="24">
        <v>0.96042589473246409</v>
      </c>
      <c r="G7" s="23">
        <v>0.99933940518356101</v>
      </c>
      <c r="H7" s="25" t="s">
        <v>17</v>
      </c>
    </row>
    <row r="8" spans="1:8" ht="15.75" x14ac:dyDescent="0.25">
      <c r="A8" s="22" t="s">
        <v>16</v>
      </c>
      <c r="B8" s="31">
        <v>5</v>
      </c>
      <c r="C8" s="23">
        <v>5.2393436431884773E-2</v>
      </c>
      <c r="D8" s="23">
        <v>0.96433105642215577</v>
      </c>
      <c r="E8" s="23">
        <v>0.96753246753246758</v>
      </c>
      <c r="F8" s="24">
        <v>0.96042589473246409</v>
      </c>
      <c r="G8" s="23">
        <v>0.99933940518356101</v>
      </c>
      <c r="H8" s="25" t="s">
        <v>17</v>
      </c>
    </row>
    <row r="9" spans="1:8" ht="15.75" x14ac:dyDescent="0.25">
      <c r="A9" s="22" t="s">
        <v>18</v>
      </c>
      <c r="B9" s="31">
        <v>3</v>
      </c>
      <c r="C9" s="23">
        <v>0.12924742698669431</v>
      </c>
      <c r="D9" s="23">
        <v>0.94884736554266358</v>
      </c>
      <c r="E9" s="23">
        <v>0.98051948051948057</v>
      </c>
      <c r="F9" s="24">
        <v>0.97454794493941987</v>
      </c>
      <c r="G9" s="23">
        <v>0.99945184685444433</v>
      </c>
      <c r="H9" s="25" t="s">
        <v>19</v>
      </c>
    </row>
    <row r="10" spans="1:8" ht="15.75" x14ac:dyDescent="0.25">
      <c r="A10" s="22" t="s">
        <v>18</v>
      </c>
      <c r="B10" s="31">
        <v>5</v>
      </c>
      <c r="C10" s="23">
        <v>0.12819814682006839</v>
      </c>
      <c r="D10" s="23">
        <v>0.96078235581766214</v>
      </c>
      <c r="E10" s="23">
        <v>0.98051948051948057</v>
      </c>
      <c r="F10" s="24">
        <v>0.97454794493941987</v>
      </c>
      <c r="G10" s="23">
        <v>0.99945184685444433</v>
      </c>
      <c r="H10" s="25" t="s">
        <v>19</v>
      </c>
    </row>
    <row r="11" spans="1:8" ht="15.75" x14ac:dyDescent="0.25">
      <c r="A11" s="22" t="s">
        <v>20</v>
      </c>
      <c r="B11" s="31">
        <v>3</v>
      </c>
      <c r="C11" s="23">
        <v>3.168201208114624</v>
      </c>
      <c r="D11" s="23">
        <v>0.99379501961467487</v>
      </c>
      <c r="E11" s="23">
        <v>0.99350649350649356</v>
      </c>
      <c r="F11" s="24">
        <v>0.99176492607149547</v>
      </c>
      <c r="G11" s="23">
        <v>0.99992972395569801</v>
      </c>
      <c r="H11" s="25" t="s">
        <v>21</v>
      </c>
    </row>
    <row r="12" spans="1:8" ht="15.75" x14ac:dyDescent="0.25">
      <c r="A12" s="22" t="s">
        <v>20</v>
      </c>
      <c r="B12" s="31">
        <v>5</v>
      </c>
      <c r="C12" s="23">
        <v>5.827354907989502</v>
      </c>
      <c r="D12" s="23">
        <v>0.99369402408240826</v>
      </c>
      <c r="E12" s="23">
        <v>0.99350649350649356</v>
      </c>
      <c r="F12" s="24">
        <v>0.99176492607149547</v>
      </c>
      <c r="G12" s="23">
        <v>0.99992972395569801</v>
      </c>
      <c r="H12" s="25" t="s">
        <v>22</v>
      </c>
    </row>
    <row r="13" spans="1:8" ht="15.75" x14ac:dyDescent="0.25">
      <c r="A13" s="22" t="s">
        <v>23</v>
      </c>
      <c r="B13" s="31">
        <v>3</v>
      </c>
      <c r="C13" s="23">
        <v>6.9281816482543945E-2</v>
      </c>
      <c r="D13" s="23">
        <v>0.83458420185803162</v>
      </c>
      <c r="E13" s="23">
        <v>0.89610389610389607</v>
      </c>
      <c r="F13" s="24">
        <v>0.84722922644407728</v>
      </c>
      <c r="G13" s="23">
        <v>0.98473604317760166</v>
      </c>
      <c r="H13" s="25" t="s">
        <v>24</v>
      </c>
    </row>
    <row r="14" spans="1:8" ht="15.75" x14ac:dyDescent="0.25">
      <c r="A14" s="22" t="s">
        <v>23</v>
      </c>
      <c r="B14" s="31">
        <v>5</v>
      </c>
      <c r="C14" s="23">
        <v>3.6467075347900391E-2</v>
      </c>
      <c r="D14" s="23">
        <v>0.84027807983752489</v>
      </c>
      <c r="E14" s="23">
        <v>0.89610389610389607</v>
      </c>
      <c r="F14" s="24">
        <v>0.84722922644407728</v>
      </c>
      <c r="G14" s="23">
        <v>0.98473604317760166</v>
      </c>
      <c r="H14" s="25" t="s">
        <v>24</v>
      </c>
    </row>
    <row r="15" spans="1:8" ht="15.75" x14ac:dyDescent="0.25">
      <c r="A15" s="22" t="s">
        <v>25</v>
      </c>
      <c r="B15" s="31">
        <v>3</v>
      </c>
      <c r="C15" s="23">
        <v>1.1900374889373779</v>
      </c>
      <c r="D15" s="23">
        <v>0.98935294823850162</v>
      </c>
      <c r="E15" s="23">
        <v>0.98701298701298701</v>
      </c>
      <c r="F15" s="24">
        <v>0.98242842923499851</v>
      </c>
      <c r="G15" s="23">
        <v>0.99969078540507117</v>
      </c>
      <c r="H15" s="25" t="s">
        <v>26</v>
      </c>
    </row>
    <row r="16" spans="1:8" ht="15.75" x14ac:dyDescent="0.25">
      <c r="A16" s="22" t="s">
        <v>25</v>
      </c>
      <c r="B16" s="31">
        <v>5</v>
      </c>
      <c r="C16" s="23">
        <v>1.8961231708526609</v>
      </c>
      <c r="D16" s="23">
        <v>0.99148200691455823</v>
      </c>
      <c r="E16" s="23">
        <v>0.98701298701298701</v>
      </c>
      <c r="F16" s="24">
        <v>0.98242842923499851</v>
      </c>
      <c r="G16" s="23">
        <v>0.99969078540507117</v>
      </c>
      <c r="H16" s="25" t="s">
        <v>26</v>
      </c>
    </row>
    <row r="17" spans="1:8" ht="15.75" x14ac:dyDescent="0.25">
      <c r="A17" s="22" t="s">
        <v>27</v>
      </c>
      <c r="B17" s="31">
        <v>3</v>
      </c>
      <c r="C17" s="23">
        <v>1.3568181991577151</v>
      </c>
      <c r="D17" s="23">
        <v>0.98935294823850162</v>
      </c>
      <c r="E17" s="23">
        <v>0.98701298701298701</v>
      </c>
      <c r="F17" s="24">
        <v>0.98242842923499851</v>
      </c>
      <c r="G17" s="23">
        <v>0.99912857705065494</v>
      </c>
      <c r="H17" s="25" t="s">
        <v>28</v>
      </c>
    </row>
    <row r="18" spans="1:8" ht="15.75" x14ac:dyDescent="0.25">
      <c r="A18" s="22" t="s">
        <v>27</v>
      </c>
      <c r="B18" s="31">
        <v>5</v>
      </c>
      <c r="C18" s="23">
        <v>1.340761184692383</v>
      </c>
      <c r="D18" s="23">
        <v>0.99307389879423769</v>
      </c>
      <c r="E18" s="23">
        <v>0.98701298701298701</v>
      </c>
      <c r="F18" s="24">
        <v>0.98242842923499851</v>
      </c>
      <c r="G18" s="23">
        <v>0.99976106144937316</v>
      </c>
      <c r="H18" s="25" t="s">
        <v>29</v>
      </c>
    </row>
    <row r="19" spans="1:8" ht="18.75" x14ac:dyDescent="0.25">
      <c r="A19" s="27"/>
      <c r="B19" s="28"/>
      <c r="C19" s="28"/>
      <c r="D19" s="28"/>
      <c r="E19" s="29" t="s">
        <v>53</v>
      </c>
      <c r="F19" s="26">
        <f>MAX(F3:F18)</f>
        <v>0.99176492607149547</v>
      </c>
      <c r="G19" s="28"/>
      <c r="H19" s="30"/>
    </row>
  </sheetData>
  <conditionalFormatting sqref="C3:C18">
    <cfRule type="iconSet" priority="1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11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D3:D18">
    <cfRule type="iconSet" priority="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9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E3:E18">
    <cfRule type="iconSet" priority="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7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F3:F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5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G3:G18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3">
      <iconSet iconSet="4Arrows">
        <cfvo type="percent" val="0"/>
        <cfvo type="percent" val="25"/>
        <cfvo type="percent" val="50"/>
        <cfvo type="percent" val="75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H27"/>
  <sheetViews>
    <sheetView workbookViewId="0">
      <selection activeCell="G25" sqref="G25:G26"/>
    </sheetView>
  </sheetViews>
  <sheetFormatPr baseColWidth="10" defaultColWidth="9.140625" defaultRowHeight="15" x14ac:dyDescent="0.25"/>
  <cols>
    <col min="1" max="1" width="17.5703125" customWidth="1"/>
    <col min="2" max="2" width="9.140625" style="14"/>
    <col min="3" max="3" width="16.42578125" bestFit="1" customWidth="1"/>
    <col min="4" max="4" width="14.28515625" bestFit="1" customWidth="1"/>
    <col min="5" max="5" width="15.85546875" bestFit="1" customWidth="1"/>
    <col min="6" max="7" width="14.28515625" bestFit="1" customWidth="1"/>
    <col min="8" max="8" width="105.85546875" bestFit="1" customWidth="1"/>
    <col min="9" max="11" width="12" bestFit="1" customWidth="1"/>
  </cols>
  <sheetData>
    <row r="1" spans="1:8" ht="18.75" x14ac:dyDescent="0.25">
      <c r="A1" s="15" t="s">
        <v>54</v>
      </c>
      <c r="B1" s="16"/>
      <c r="C1" s="16"/>
      <c r="D1" s="16"/>
      <c r="E1" s="17"/>
      <c r="F1" s="16"/>
      <c r="G1" s="16"/>
      <c r="H1" s="16"/>
    </row>
    <row r="2" spans="1:8" x14ac:dyDescent="0.25">
      <c r="A2" s="1" t="s">
        <v>0</v>
      </c>
      <c r="B2" s="11" t="s">
        <v>1</v>
      </c>
      <c r="C2" s="1" t="s">
        <v>2</v>
      </c>
      <c r="D2" s="1" t="s">
        <v>3</v>
      </c>
      <c r="E2" s="1" t="s">
        <v>8</v>
      </c>
      <c r="F2" s="1" t="s">
        <v>9</v>
      </c>
      <c r="G2" s="1" t="s">
        <v>10</v>
      </c>
      <c r="H2" s="1" t="s">
        <v>7</v>
      </c>
    </row>
    <row r="3" spans="1:8" ht="15.75" x14ac:dyDescent="0.25">
      <c r="A3" s="2" t="s">
        <v>11</v>
      </c>
      <c r="B3" s="12">
        <v>3</v>
      </c>
      <c r="C3" s="3">
        <v>30.0500648021698</v>
      </c>
      <c r="D3" s="3">
        <v>0.99915871385185184</v>
      </c>
      <c r="E3" s="4">
        <v>0.99955495358226343</v>
      </c>
      <c r="F3" s="3">
        <v>0.41573038687362351</v>
      </c>
      <c r="G3" s="3">
        <v>0.22823223303365781</v>
      </c>
      <c r="H3" s="5" t="s">
        <v>30</v>
      </c>
    </row>
    <row r="4" spans="1:8" ht="15.75" x14ac:dyDescent="0.25">
      <c r="A4" s="2" t="s">
        <v>11</v>
      </c>
      <c r="B4" s="12">
        <v>5</v>
      </c>
      <c r="C4" s="3">
        <v>53.9701087474823</v>
      </c>
      <c r="D4" s="3">
        <v>0.99928374024692612</v>
      </c>
      <c r="E4" s="4">
        <v>0.99954518285390848</v>
      </c>
      <c r="F4" s="3">
        <v>0.42026916677322729</v>
      </c>
      <c r="G4" s="3">
        <v>0.2274132467532568</v>
      </c>
      <c r="H4" s="5" t="s">
        <v>31</v>
      </c>
    </row>
    <row r="5" spans="1:8" ht="15.75" x14ac:dyDescent="0.25">
      <c r="A5" s="2" t="s">
        <v>14</v>
      </c>
      <c r="B5" s="12">
        <v>3</v>
      </c>
      <c r="C5" s="3">
        <v>0.8910219669342041</v>
      </c>
      <c r="D5" s="3">
        <v>0.99881001357325816</v>
      </c>
      <c r="E5" s="4">
        <v>0.99927286758169842</v>
      </c>
      <c r="F5" s="3">
        <v>0.53139304796785936</v>
      </c>
      <c r="G5" s="3">
        <v>0.30642857142857149</v>
      </c>
      <c r="H5" s="5" t="s">
        <v>32</v>
      </c>
    </row>
    <row r="6" spans="1:8" ht="15.75" x14ac:dyDescent="0.25">
      <c r="A6" s="2" t="s">
        <v>14</v>
      </c>
      <c r="B6" s="12">
        <v>5</v>
      </c>
      <c r="C6" s="3">
        <v>1.5138359069824221</v>
      </c>
      <c r="D6" s="3">
        <v>0.9989091594722449</v>
      </c>
      <c r="E6" s="4">
        <v>0.99927286758169842</v>
      </c>
      <c r="F6" s="3">
        <v>0.53139304796785936</v>
      </c>
      <c r="G6" s="3">
        <v>0.30642857142857149</v>
      </c>
      <c r="H6" s="5" t="s">
        <v>32</v>
      </c>
    </row>
    <row r="7" spans="1:8" ht="15.75" x14ac:dyDescent="0.25">
      <c r="A7" s="2" t="s">
        <v>33</v>
      </c>
      <c r="B7" s="12">
        <v>3</v>
      </c>
      <c r="C7" s="3">
        <v>0.19521164894104001</v>
      </c>
      <c r="D7" s="3">
        <v>0.99993131933053891</v>
      </c>
      <c r="E7" s="4">
        <v>0.99995117655857702</v>
      </c>
      <c r="F7" s="3">
        <v>0.13769662915768269</v>
      </c>
      <c r="G7" s="3">
        <v>7.6330175930234001E-2</v>
      </c>
      <c r="H7" s="5" t="s">
        <v>34</v>
      </c>
    </row>
    <row r="8" spans="1:8" ht="15.75" x14ac:dyDescent="0.25">
      <c r="A8" s="2" t="s">
        <v>33</v>
      </c>
      <c r="B8" s="12">
        <v>5</v>
      </c>
      <c r="C8" s="3">
        <v>0.25816607475280762</v>
      </c>
      <c r="D8" s="3">
        <v>0.99994071533676865</v>
      </c>
      <c r="E8" s="4">
        <v>0.99995117655857702</v>
      </c>
      <c r="F8" s="3">
        <v>0.13769662915768269</v>
      </c>
      <c r="G8" s="3">
        <v>7.6330175930234001E-2</v>
      </c>
      <c r="H8" s="5" t="s">
        <v>34</v>
      </c>
    </row>
    <row r="9" spans="1:8" ht="15.75" x14ac:dyDescent="0.25">
      <c r="A9" s="2" t="s">
        <v>18</v>
      </c>
      <c r="B9" s="12">
        <v>3</v>
      </c>
      <c r="C9" s="3">
        <v>8.8490724563598633E-2</v>
      </c>
      <c r="D9" s="3">
        <v>0.99614007092774282</v>
      </c>
      <c r="E9" s="4">
        <v>0.99919379403407216</v>
      </c>
      <c r="F9" s="3">
        <v>0.55954126249433633</v>
      </c>
      <c r="G9" s="3">
        <v>0.41846294467502232</v>
      </c>
      <c r="H9" s="5" t="s">
        <v>19</v>
      </c>
    </row>
    <row r="10" spans="1:8" ht="15.75" x14ac:dyDescent="0.25">
      <c r="A10" s="2" t="s">
        <v>18</v>
      </c>
      <c r="B10" s="12">
        <v>5</v>
      </c>
      <c r="C10" s="3">
        <v>9.7517728805541992E-2</v>
      </c>
      <c r="D10" s="3">
        <v>0.9978228952075805</v>
      </c>
      <c r="E10" s="4">
        <v>0.99919379403407216</v>
      </c>
      <c r="F10" s="3">
        <v>0.55954126249433633</v>
      </c>
      <c r="G10" s="3">
        <v>0.41846294467502232</v>
      </c>
      <c r="H10" s="5" t="s">
        <v>19</v>
      </c>
    </row>
    <row r="11" spans="1:8" ht="15.75" x14ac:dyDescent="0.25">
      <c r="A11" s="2" t="s">
        <v>35</v>
      </c>
      <c r="B11" s="12">
        <v>3</v>
      </c>
      <c r="C11" s="3">
        <v>0.11448979377746581</v>
      </c>
      <c r="D11" s="3">
        <v>1</v>
      </c>
      <c r="E11" s="4">
        <v>1</v>
      </c>
      <c r="F11" s="3">
        <v>5.8397039327295429E-9</v>
      </c>
      <c r="G11" s="3">
        <v>4.23403629040481E-9</v>
      </c>
      <c r="H11" s="5" t="s">
        <v>36</v>
      </c>
    </row>
    <row r="12" spans="1:8" ht="15.75" x14ac:dyDescent="0.25">
      <c r="A12" s="2" t="s">
        <v>35</v>
      </c>
      <c r="B12" s="12">
        <v>5</v>
      </c>
      <c r="C12" s="3">
        <v>7.3320150375366211E-2</v>
      </c>
      <c r="D12" s="3">
        <v>1</v>
      </c>
      <c r="E12" s="4">
        <v>1</v>
      </c>
      <c r="F12" s="3">
        <v>5.8397039327295429E-9</v>
      </c>
      <c r="G12" s="3">
        <v>4.23403629040481E-9</v>
      </c>
      <c r="H12" s="5" t="s">
        <v>36</v>
      </c>
    </row>
    <row r="13" spans="1:8" ht="15.75" x14ac:dyDescent="0.25">
      <c r="A13" s="2" t="s">
        <v>37</v>
      </c>
      <c r="B13" s="12">
        <v>3</v>
      </c>
      <c r="C13" s="3">
        <v>3.9783716201782227E-2</v>
      </c>
      <c r="D13" s="3">
        <v>0.99999999998764644</v>
      </c>
      <c r="E13" s="4">
        <v>0.99999999998775002</v>
      </c>
      <c r="F13" s="3">
        <v>6.8972743465353398E-5</v>
      </c>
      <c r="G13" s="3">
        <v>5.0519346087657761E-5</v>
      </c>
      <c r="H13" s="5" t="s">
        <v>38</v>
      </c>
    </row>
    <row r="14" spans="1:8" ht="15.75" x14ac:dyDescent="0.25">
      <c r="A14" s="2" t="s">
        <v>37</v>
      </c>
      <c r="B14" s="12">
        <v>5</v>
      </c>
      <c r="C14" s="3">
        <v>3.9915323257446289E-2</v>
      </c>
      <c r="D14" s="3">
        <v>0.99999999998823397</v>
      </c>
      <c r="E14" s="4">
        <v>0.99999999998775002</v>
      </c>
      <c r="F14" s="3">
        <v>6.8972743465353398E-5</v>
      </c>
      <c r="G14" s="3">
        <v>5.0519346087657761E-5</v>
      </c>
      <c r="H14" s="5" t="s">
        <v>38</v>
      </c>
    </row>
    <row r="15" spans="1:8" ht="15.75" x14ac:dyDescent="0.25">
      <c r="A15" s="2" t="s">
        <v>39</v>
      </c>
      <c r="B15" s="12">
        <v>3</v>
      </c>
      <c r="C15" s="3">
        <v>6.5983772277832031E-2</v>
      </c>
      <c r="D15" s="3">
        <v>0.99999999999696865</v>
      </c>
      <c r="E15" s="4">
        <v>0.99999999999640976</v>
      </c>
      <c r="F15" s="3">
        <v>3.7339945821400207E-5</v>
      </c>
      <c r="G15" s="3">
        <v>2.7342764528773809E-5</v>
      </c>
      <c r="H15" s="5" t="s">
        <v>40</v>
      </c>
    </row>
    <row r="16" spans="1:8" ht="15.75" x14ac:dyDescent="0.25">
      <c r="A16" s="2" t="s">
        <v>39</v>
      </c>
      <c r="B16" s="12">
        <v>5</v>
      </c>
      <c r="C16" s="3">
        <v>9.5971822738647461E-2</v>
      </c>
      <c r="D16" s="3">
        <v>0.99999999999683875</v>
      </c>
      <c r="E16" s="4">
        <v>0.99999999999640976</v>
      </c>
      <c r="F16" s="3">
        <v>3.7339945821400207E-5</v>
      </c>
      <c r="G16" s="3">
        <v>2.7342764528773809E-5</v>
      </c>
      <c r="H16" s="5" t="s">
        <v>40</v>
      </c>
    </row>
    <row r="17" spans="1:8" ht="15.75" x14ac:dyDescent="0.25">
      <c r="A17" s="2" t="s">
        <v>41</v>
      </c>
      <c r="B17" s="12">
        <v>3</v>
      </c>
      <c r="C17" s="3">
        <v>2.9679355621337891</v>
      </c>
      <c r="D17" s="3">
        <v>0.99953080808989692</v>
      </c>
      <c r="E17" s="4">
        <v>0.99966142483078024</v>
      </c>
      <c r="F17" s="3">
        <v>0.36260740324271551</v>
      </c>
      <c r="G17" s="3">
        <v>0.21753122364685501</v>
      </c>
      <c r="H17" s="5" t="s">
        <v>42</v>
      </c>
    </row>
    <row r="18" spans="1:8" ht="15.75" x14ac:dyDescent="0.25">
      <c r="A18" s="2" t="s">
        <v>41</v>
      </c>
      <c r="B18" s="12">
        <v>5</v>
      </c>
      <c r="C18" s="3">
        <v>5.2542273998260498</v>
      </c>
      <c r="D18" s="3">
        <v>0.99961765611822417</v>
      </c>
      <c r="E18" s="4">
        <v>0.99975141317265437</v>
      </c>
      <c r="F18" s="3">
        <v>0.31070494865526083</v>
      </c>
      <c r="G18" s="3">
        <v>0.21445021441038839</v>
      </c>
      <c r="H18" s="5" t="s">
        <v>43</v>
      </c>
    </row>
    <row r="19" spans="1:8" ht="15.75" x14ac:dyDescent="0.25">
      <c r="A19" s="2" t="s">
        <v>44</v>
      </c>
      <c r="B19" s="12">
        <v>3</v>
      </c>
      <c r="C19" s="3">
        <v>3.6296520233154301</v>
      </c>
      <c r="D19" s="3">
        <v>0.99930775516069337</v>
      </c>
      <c r="E19" s="4">
        <v>0.9995703448167288</v>
      </c>
      <c r="F19" s="3">
        <v>0.40847844323144761</v>
      </c>
      <c r="G19" s="3">
        <v>0.25263348418396803</v>
      </c>
      <c r="H19" s="5" t="s">
        <v>45</v>
      </c>
    </row>
    <row r="20" spans="1:8" ht="15.75" x14ac:dyDescent="0.25">
      <c r="A20" s="2" t="s">
        <v>44</v>
      </c>
      <c r="B20" s="12">
        <v>5</v>
      </c>
      <c r="C20" s="3">
        <v>1.7204053401947019</v>
      </c>
      <c r="D20" s="3">
        <v>0.99946390562236564</v>
      </c>
      <c r="E20" s="4">
        <v>0.99965316815099436</v>
      </c>
      <c r="F20" s="3">
        <v>0.36700214300849032</v>
      </c>
      <c r="G20" s="3">
        <v>0.2297141919817243</v>
      </c>
      <c r="H20" s="5" t="s">
        <v>46</v>
      </c>
    </row>
    <row r="21" spans="1:8" ht="15.75" x14ac:dyDescent="0.25">
      <c r="A21" s="2" t="s">
        <v>47</v>
      </c>
      <c r="B21" s="12">
        <v>3</v>
      </c>
      <c r="C21" s="3">
        <v>7.3037736415863037</v>
      </c>
      <c r="D21" s="3">
        <v>0.99854911671030555</v>
      </c>
      <c r="E21" s="4">
        <v>0.99952240647688206</v>
      </c>
      <c r="F21" s="3">
        <v>0.4306637610594572</v>
      </c>
      <c r="G21" s="3">
        <v>0.31302418994024389</v>
      </c>
      <c r="H21" s="5" t="s">
        <v>48</v>
      </c>
    </row>
    <row r="22" spans="1:8" ht="15.75" x14ac:dyDescent="0.25">
      <c r="A22" s="2" t="s">
        <v>47</v>
      </c>
      <c r="B22" s="12">
        <v>5</v>
      </c>
      <c r="C22" s="3">
        <v>7.4869377613067627</v>
      </c>
      <c r="D22" s="3">
        <v>0.99912126527211631</v>
      </c>
      <c r="E22" s="4">
        <v>0.99954465185814312</v>
      </c>
      <c r="F22" s="3">
        <v>0.42051442583283322</v>
      </c>
      <c r="G22" s="3">
        <v>0.27350537292997629</v>
      </c>
      <c r="H22" s="5" t="s">
        <v>49</v>
      </c>
    </row>
    <row r="23" spans="1:8" ht="15.75" x14ac:dyDescent="0.25">
      <c r="A23" s="2" t="s">
        <v>25</v>
      </c>
      <c r="B23" s="12">
        <v>3</v>
      </c>
      <c r="C23" s="3">
        <v>1.4497971534728999</v>
      </c>
      <c r="D23" s="3">
        <v>0.9993661750125149</v>
      </c>
      <c r="E23" s="4">
        <v>0.99972014609680093</v>
      </c>
      <c r="F23" s="3">
        <v>0.3296664859921038</v>
      </c>
      <c r="G23" s="3">
        <v>0.22730459956709931</v>
      </c>
      <c r="H23" s="5" t="s">
        <v>50</v>
      </c>
    </row>
    <row r="24" spans="1:8" ht="15.75" x14ac:dyDescent="0.25">
      <c r="A24" s="2" t="s">
        <v>25</v>
      </c>
      <c r="B24" s="12">
        <v>5</v>
      </c>
      <c r="C24" s="3">
        <v>2.3044722080230708</v>
      </c>
      <c r="D24" s="3">
        <v>0.99940240658761714</v>
      </c>
      <c r="E24" s="4">
        <v>0.99972014609680093</v>
      </c>
      <c r="F24" s="3">
        <v>0.3296664859921038</v>
      </c>
      <c r="G24" s="3">
        <v>0.22730459956709931</v>
      </c>
      <c r="H24" s="5" t="s">
        <v>50</v>
      </c>
    </row>
    <row r="25" spans="1:8" ht="15.75" x14ac:dyDescent="0.25">
      <c r="A25" s="2" t="s">
        <v>27</v>
      </c>
      <c r="B25" s="12">
        <v>3</v>
      </c>
      <c r="C25" s="3">
        <v>1.6430661678314209</v>
      </c>
      <c r="D25" s="3">
        <v>0.99999930119763036</v>
      </c>
      <c r="E25" s="4">
        <v>0.99999964366137206</v>
      </c>
      <c r="F25" s="3">
        <v>1.176360860315794E-2</v>
      </c>
      <c r="G25" s="3">
        <v>9.2521703907751662E-3</v>
      </c>
      <c r="H25" s="5" t="s">
        <v>28</v>
      </c>
    </row>
    <row r="26" spans="1:8" ht="16.5" thickBot="1" x14ac:dyDescent="0.3">
      <c r="A26" s="2" t="s">
        <v>27</v>
      </c>
      <c r="B26" s="12">
        <v>5</v>
      </c>
      <c r="C26" s="3">
        <v>1.933768033981323</v>
      </c>
      <c r="D26" s="3">
        <v>0.99999951243140084</v>
      </c>
      <c r="E26" s="4">
        <v>0.99999964366137206</v>
      </c>
      <c r="F26" s="3">
        <v>1.176360860315794E-2</v>
      </c>
      <c r="G26" s="3">
        <v>9.2521703907751662E-3</v>
      </c>
      <c r="H26" s="5" t="s">
        <v>28</v>
      </c>
    </row>
    <row r="27" spans="1:8" ht="19.5" thickTop="1" x14ac:dyDescent="0.25">
      <c r="A27" s="6"/>
      <c r="B27" s="13"/>
      <c r="C27" s="7"/>
      <c r="D27" s="8" t="s">
        <v>51</v>
      </c>
      <c r="E27" s="9">
        <f>MAX(E3:E26)</f>
        <v>1</v>
      </c>
      <c r="F27" s="7"/>
      <c r="G27" s="7"/>
      <c r="H27" s="10"/>
    </row>
  </sheetData>
  <conditionalFormatting sqref="C3:C26">
    <cfRule type="iconSet" priority="1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11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D3:D26">
    <cfRule type="iconSet" priority="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9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E3:E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7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F3:F26"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5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G3:G26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3">
      <iconSet iconSet="4Arrows">
        <cfvo type="percent" val="0"/>
        <cfvo type="percent" val="25"/>
        <cfvo type="percent" val="50"/>
        <cfvo type="percent" val="75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CLASSIFICATION_QCUT_SUM_GRID</vt:lpstr>
      <vt:lpstr>REGRESSION_SUM_GRID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 YEZZA</cp:lastModifiedBy>
  <dcterms:created xsi:type="dcterms:W3CDTF">2026-01-25T10:37:43Z</dcterms:created>
  <dcterms:modified xsi:type="dcterms:W3CDTF">2026-01-25T11:00:42Z</dcterms:modified>
</cp:coreProperties>
</file>